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zopinotti/Downloads/"/>
    </mc:Choice>
  </mc:AlternateContent>
  <xr:revisionPtr revIDLastSave="0" documentId="8_{185BF22C-73D0-D24F-9DD8-AC3D3D483D89}" xr6:coauthVersionLast="47" xr6:coauthVersionMax="47" xr10:uidLastSave="{00000000-0000-0000-0000-000000000000}"/>
  <bookViews>
    <workbookView xWindow="4320" yWindow="2120" windowWidth="24480" windowHeight="13780" xr2:uid="{F2D972AE-521D-E34C-9AD5-74F4D868B559}"/>
  </bookViews>
  <sheets>
    <sheet name="condicionesComercia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2" l="1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<sst xmlns="http://schemas.openxmlformats.org/spreadsheetml/2006/main" count="64" uniqueCount="64">
  <si>
    <t>IDDTO</t>
  </si>
  <si>
    <t>DESCRIPCION</t>
  </si>
  <si>
    <t>FARMACIA LISTA - ALIMENTO TODA LINEA 9.09%</t>
  </si>
  <si>
    <t>FARMACIA 15% - ALIMENTO TODA LINEA 23%</t>
  </si>
  <si>
    <t>Farmacia Lista Mas 15 %- Toda La Linea De Alimentos Mas 20 %</t>
  </si>
  <si>
    <t>FARMACIA 15% - ALIMENTO TODA LINEA 9.09%</t>
  </si>
  <si>
    <t>FARMACIA 15% - ALIMENTO 20% - CORDERO MyG 23%</t>
  </si>
  <si>
    <t>FARMACIA LISTA - ALIMENTO TODA LINEA 12%</t>
  </si>
  <si>
    <t>FARMACIA LISTA - ALIMENTO TODA LINEA 23%</t>
  </si>
  <si>
    <t>FARMACIA 5% - ALIMENTO TODA LINEA LISTA</t>
  </si>
  <si>
    <t>FARMACIA 5% - ALIMENTO 9,09% - CORDERO MyG 23%</t>
  </si>
  <si>
    <t>FARMACIA 5% - ALIMENTO TODA LINEA 9,09%</t>
  </si>
  <si>
    <t>FARMACIA 10% - ALIMENTO TODA LINEA LISTA</t>
  </si>
  <si>
    <t>FARMACIA 10% - ALIMENTO TODA LINEA 9,09%</t>
  </si>
  <si>
    <t>FARMACIA 12% - ALIMENTO TODA LINEA LISTA</t>
  </si>
  <si>
    <t>FARMACIA 12% - ALIMENTO TODA LINEA 9,09%</t>
  </si>
  <si>
    <t>FARMACIA 12% - ALIMENTO TODA LINEA 20%</t>
  </si>
  <si>
    <t>FARMACIA 12% - ALIMENTO 20% - CORDDERO MyG 23%</t>
  </si>
  <si>
    <t>FARMACIA 15% - ALIMENTO TODA LINEA LISTA</t>
  </si>
  <si>
    <t>FARMACIA 5% - ALIMENTO TODA LINEA 20%</t>
  </si>
  <si>
    <t>FARMACIA LISTA - ALIMENTO 20% - CORDERO MyG 23%</t>
  </si>
  <si>
    <t>FARMACIA 10% - ALIMENTO TODA LINEA 15%</t>
  </si>
  <si>
    <t>FARMACIA 10% - ALIMENTO TODA LINEA 23%</t>
  </si>
  <si>
    <t>FARMACIA 15%- TODA LINEA ALIMENTO 26%</t>
  </si>
  <si>
    <t>FARMACIA 12% - ALIMENTO TODA LINEA 26%</t>
  </si>
  <si>
    <t>FARMACIA LISTA - ALIMENTO TODA LINEA 20 %</t>
  </si>
  <si>
    <t>FARMACIA 10% - ALIMENTO TODA LINEA 26%</t>
  </si>
  <si>
    <t>FARMACIA 5% - ALIMENTO TODA LINEA 26%</t>
  </si>
  <si>
    <t>FARMACIA LISTA - ALIMENTO TODA LINEA 26%</t>
  </si>
  <si>
    <t>FARM. 8% - 9.09% ALIM.TODA LINEA</t>
  </si>
  <si>
    <t>FARM. 8% - ALIM 9.09% - 23% CORD. AMyG.</t>
  </si>
  <si>
    <t>FARM. 8% - 20% ALIM.TODA LINEA</t>
  </si>
  <si>
    <t>FARM. 8% - ALIM.20% - 23% CORD. AMyG</t>
  </si>
  <si>
    <t>FARM. 8% - 23% ALIM. TODA LINEA</t>
  </si>
  <si>
    <t>FARM. 8% - 12% ALIM. TODA LINEA</t>
  </si>
  <si>
    <t>FARM. 8% - 15% ALIM. TODA LINEA</t>
  </si>
  <si>
    <t>FARMACIA 5 % - ALIMENTO TODA LINEA 12 %</t>
  </si>
  <si>
    <t>FARM. 8% - 26% ALIM. TODA LINEA</t>
  </si>
  <si>
    <t>20% FARM. - 5 % ALIMENTO</t>
  </si>
  <si>
    <t>15% FARM. - 17% ALIMENTO</t>
  </si>
  <si>
    <t>15% FARM. - 14% ALIMENTO</t>
  </si>
  <si>
    <t>15% FARM. - 11% ALIMENTO</t>
  </si>
  <si>
    <t>15% FARM. - 5% ALIMENTO</t>
  </si>
  <si>
    <t>12% FARM. - 17% ALIMENTO</t>
  </si>
  <si>
    <t>12% FARM. - 14% ALIMENTO</t>
  </si>
  <si>
    <t>12% FARM. - 11% ALIMENTO</t>
  </si>
  <si>
    <t>12% FARM. - 5% ALIMENTO</t>
  </si>
  <si>
    <t>FARMACIA LISTA - ALIMENTO TODA LINEA 15%</t>
  </si>
  <si>
    <t>10% FARM. - 17% ALIMENTO</t>
  </si>
  <si>
    <t>10% FARM. - 14% ALIMENTO</t>
  </si>
  <si>
    <t>10% FARM. - 11% ALIMENTO</t>
  </si>
  <si>
    <t>10% FARM. - 5% ALIMENTO</t>
  </si>
  <si>
    <t>5% FARM. 17% ALIMENTO</t>
  </si>
  <si>
    <t>5% FARM. 14% ALIMENTO</t>
  </si>
  <si>
    <t>5% FARM. 11% ALIMENTO</t>
  </si>
  <si>
    <t>5% FARM. 5% ALIMENTO</t>
  </si>
  <si>
    <t>LISTA FARM. - 17% ALIMENTO</t>
  </si>
  <si>
    <t>LISTA FARM. - 14% ALIMENTO</t>
  </si>
  <si>
    <t>FARMACIA 10% - ALIMENTO TODA LINEA 20%</t>
  </si>
  <si>
    <t>LISTA FARM. - 11% ALIMENTO</t>
  </si>
  <si>
    <t>LISTA FARM. - 5% ALIMENTO</t>
  </si>
  <si>
    <t>18% FARM. - 14% ALIMENTO</t>
  </si>
  <si>
    <t>FARMACIA 10% - ALIMENTO 20% - CORDERO MyG 23%</t>
  </si>
  <si>
    <t>FARMACIA 12% - ALIMENTO TODA LINEA 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</si>
</sst>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33" borderId="10" xfId="0" applyFont="1" applyFill="1" applyBorder="1" applyAlignment="1">
      <alignment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0A4F-3DA5-8540-BF39-B0CFA4E5BBB3}">
  <dimension ref="A1:C63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43.33203125" bestFit="1" customWidth="1"/>
  </cols>
  <sheetData>
    <row r="1" spans="1:3" ht="17" thickBot="1" x14ac:dyDescent="0.25">
      <c r="A1" s="1" t="s">
        <v>0</v>
      </c>
      <c r="B1" s="1" t="s">
        <v>1</v>
      </c>
    </row>
    <row r="2" spans="1:3" x14ac:dyDescent="0.2">
      <c r="A2" s="3" t="str">
        <f>"1"</f>
        <v>1</v>
      </c>
      <c r="B2" s="3" t="s">
        <v>2</v>
      </c>
      <c r="C2" s="2"/>
    </row>
    <row r="3" spans="1:3" x14ac:dyDescent="0.2">
      <c r="A3" s="3" t="str">
        <f>"10"</f>
        <v>10</v>
      </c>
      <c r="B3" s="3" t="s">
        <v>3</v>
      </c>
      <c r="C3" s="2"/>
    </row>
    <row r="4" spans="1:3" ht="30" x14ac:dyDescent="0.2">
      <c r="A4" s="3" t="str">
        <f>"11"</f>
        <v>11</v>
      </c>
      <c r="B4" s="3" t="s">
        <v>4</v>
      </c>
      <c r="C4" s="2"/>
    </row>
    <row r="5" spans="1:3" x14ac:dyDescent="0.2">
      <c r="A5" s="3" t="str">
        <f>"12"</f>
        <v>12</v>
      </c>
      <c r="B5" s="3" t="s">
        <v>5</v>
      </c>
      <c r="C5" s="2"/>
    </row>
    <row r="6" spans="1:3" x14ac:dyDescent="0.2">
      <c r="A6" s="3" t="str">
        <f>"14"</f>
        <v>14</v>
      </c>
      <c r="B6" s="3" t="s">
        <v>6</v>
      </c>
      <c r="C6" s="2"/>
    </row>
    <row r="7" spans="1:3" x14ac:dyDescent="0.2">
      <c r="A7" s="3" t="str">
        <f>"17"</f>
        <v>17</v>
      </c>
      <c r="B7" s="3" t="s">
        <v>7</v>
      </c>
      <c r="C7" s="2"/>
    </row>
    <row r="8" spans="1:3" x14ac:dyDescent="0.2">
      <c r="A8" s="3" t="str">
        <f>"18"</f>
        <v>18</v>
      </c>
      <c r="B8" s="3" t="s">
        <v>8</v>
      </c>
      <c r="C8" s="2"/>
    </row>
    <row r="9" spans="1:3" x14ac:dyDescent="0.2">
      <c r="A9" s="3" t="str">
        <f>"19"</f>
        <v>19</v>
      </c>
      <c r="B9" s="3" t="s">
        <v>9</v>
      </c>
      <c r="C9" s="2"/>
    </row>
    <row r="10" spans="1:3" x14ac:dyDescent="0.2">
      <c r="A10" s="3" t="str">
        <f>"2"</f>
        <v>2</v>
      </c>
      <c r="B10" s="3" t="s">
        <v>10</v>
      </c>
      <c r="C10" s="2"/>
    </row>
    <row r="11" spans="1:3" x14ac:dyDescent="0.2">
      <c r="A11" s="3" t="str">
        <f>"20"</f>
        <v>20</v>
      </c>
      <c r="B11" s="3" t="s">
        <v>11</v>
      </c>
      <c r="C11" s="2"/>
    </row>
    <row r="12" spans="1:3" x14ac:dyDescent="0.2">
      <c r="A12" s="3" t="str">
        <f>"21"</f>
        <v>21</v>
      </c>
      <c r="B12" s="3" t="s">
        <v>12</v>
      </c>
      <c r="C12" s="2"/>
    </row>
    <row r="13" spans="1:3" x14ac:dyDescent="0.2">
      <c r="A13" s="3" t="str">
        <f>"22"</f>
        <v>22</v>
      </c>
      <c r="B13" s="3" t="s">
        <v>13</v>
      </c>
      <c r="C13" s="2"/>
    </row>
    <row r="14" spans="1:3" x14ac:dyDescent="0.2">
      <c r="A14" s="3" t="str">
        <f>"23"</f>
        <v>23</v>
      </c>
      <c r="B14" s="3" t="s">
        <v>14</v>
      </c>
      <c r="C14" s="2"/>
    </row>
    <row r="15" spans="1:3" x14ac:dyDescent="0.2">
      <c r="A15" s="3" t="str">
        <f>"24"</f>
        <v>24</v>
      </c>
      <c r="B15" s="3" t="s">
        <v>15</v>
      </c>
      <c r="C15" s="2"/>
    </row>
    <row r="16" spans="1:3" x14ac:dyDescent="0.2">
      <c r="A16" s="3" t="str">
        <f>"25"</f>
        <v>25</v>
      </c>
      <c r="B16" s="3" t="s">
        <v>16</v>
      </c>
      <c r="C16" s="2"/>
    </row>
    <row r="17" spans="1:3" x14ac:dyDescent="0.2">
      <c r="A17" s="3" t="str">
        <f>"27"</f>
        <v>27</v>
      </c>
      <c r="B17" s="3" t="s">
        <v>17</v>
      </c>
      <c r="C17" s="2"/>
    </row>
    <row r="18" spans="1:3" x14ac:dyDescent="0.2">
      <c r="A18" s="3" t="str">
        <f>"28"</f>
        <v>28</v>
      </c>
      <c r="B18" s="3" t="s">
        <v>18</v>
      </c>
      <c r="C18" s="2"/>
    </row>
    <row r="19" spans="1:3" x14ac:dyDescent="0.2">
      <c r="A19" s="3" t="str">
        <f>"29"</f>
        <v>29</v>
      </c>
      <c r="B19" s="3" t="s">
        <v>19</v>
      </c>
      <c r="C19" s="2"/>
    </row>
    <row r="20" spans="1:3" x14ac:dyDescent="0.2">
      <c r="A20" s="3" t="str">
        <f>"3"</f>
        <v>3</v>
      </c>
      <c r="B20" s="3" t="s">
        <v>20</v>
      </c>
      <c r="C20" s="2"/>
    </row>
    <row r="21" spans="1:3" x14ac:dyDescent="0.2">
      <c r="A21" s="3" t="str">
        <f>"30"</f>
        <v>30</v>
      </c>
      <c r="B21" s="3" t="s">
        <v>21</v>
      </c>
      <c r="C21" s="2"/>
    </row>
    <row r="22" spans="1:3" x14ac:dyDescent="0.2">
      <c r="A22" s="3" t="str">
        <f>"31"</f>
        <v>31</v>
      </c>
      <c r="B22" s="3" t="s">
        <v>22</v>
      </c>
      <c r="C22" s="2"/>
    </row>
    <row r="23" spans="1:3" x14ac:dyDescent="0.2">
      <c r="A23" s="3" t="str">
        <f>"38"</f>
        <v>38</v>
      </c>
      <c r="B23" s="3" t="s">
        <v>23</v>
      </c>
      <c r="C23" s="2"/>
    </row>
    <row r="24" spans="1:3" x14ac:dyDescent="0.2">
      <c r="A24" s="3" t="str">
        <f>"39"</f>
        <v>39</v>
      </c>
      <c r="B24" s="3" t="s">
        <v>24</v>
      </c>
      <c r="C24" s="2"/>
    </row>
    <row r="25" spans="1:3" x14ac:dyDescent="0.2">
      <c r="A25" s="3" t="str">
        <f>"4"</f>
        <v>4</v>
      </c>
      <c r="B25" s="3" t="s">
        <v>25</v>
      </c>
      <c r="C25" s="2"/>
    </row>
    <row r="26" spans="1:3" x14ac:dyDescent="0.2">
      <c r="A26" s="3" t="str">
        <f>"40"</f>
        <v>40</v>
      </c>
      <c r="B26" s="3" t="s">
        <v>26</v>
      </c>
      <c r="C26" s="2"/>
    </row>
    <row r="27" spans="1:3" x14ac:dyDescent="0.2">
      <c r="A27" s="3" t="str">
        <f>"41"</f>
        <v>41</v>
      </c>
      <c r="B27" s="3" t="s">
        <v>27</v>
      </c>
      <c r="C27" s="2"/>
    </row>
    <row r="28" spans="1:3" x14ac:dyDescent="0.2">
      <c r="A28" s="3" t="str">
        <f>"42"</f>
        <v>42</v>
      </c>
      <c r="B28" s="3" t="s">
        <v>28</v>
      </c>
      <c r="C28" s="2"/>
    </row>
    <row r="29" spans="1:3" x14ac:dyDescent="0.2">
      <c r="A29" s="3" t="str">
        <f>"43"</f>
        <v>43</v>
      </c>
      <c r="B29" s="3" t="s">
        <v>29</v>
      </c>
      <c r="C29" s="2"/>
    </row>
    <row r="30" spans="1:3" x14ac:dyDescent="0.2">
      <c r="A30" s="3" t="str">
        <f>"44"</f>
        <v>44</v>
      </c>
      <c r="B30" s="3" t="s">
        <v>30</v>
      </c>
      <c r="C30" s="2"/>
    </row>
    <row r="31" spans="1:3" x14ac:dyDescent="0.2">
      <c r="A31" s="3" t="str">
        <f>"45"</f>
        <v>45</v>
      </c>
      <c r="B31" s="3" t="s">
        <v>31</v>
      </c>
      <c r="C31" s="2"/>
    </row>
    <row r="32" spans="1:3" x14ac:dyDescent="0.2">
      <c r="A32" s="3" t="str">
        <f>"46"</f>
        <v>46</v>
      </c>
      <c r="B32" s="3" t="s">
        <v>32</v>
      </c>
      <c r="C32" s="2"/>
    </row>
    <row r="33" spans="1:3" x14ac:dyDescent="0.2">
      <c r="A33" s="3" t="str">
        <f>"47"</f>
        <v>47</v>
      </c>
      <c r="B33" s="3" t="s">
        <v>33</v>
      </c>
      <c r="C33" s="2"/>
    </row>
    <row r="34" spans="1:3" x14ac:dyDescent="0.2">
      <c r="A34" s="3" t="str">
        <f>"48"</f>
        <v>48</v>
      </c>
      <c r="B34" s="3" t="s">
        <v>34</v>
      </c>
      <c r="C34" s="2"/>
    </row>
    <row r="35" spans="1:3" x14ac:dyDescent="0.2">
      <c r="A35" s="3" t="str">
        <f>"49"</f>
        <v>49</v>
      </c>
      <c r="B35" s="3" t="s">
        <v>35</v>
      </c>
      <c r="C35" s="2"/>
    </row>
    <row r="36" spans="1:3" x14ac:dyDescent="0.2">
      <c r="A36" s="3" t="str">
        <f>"5"</f>
        <v>5</v>
      </c>
      <c r="B36" s="3" t="s">
        <v>36</v>
      </c>
      <c r="C36" s="2"/>
    </row>
    <row r="37" spans="1:3" x14ac:dyDescent="0.2">
      <c r="A37" s="3" t="str">
        <f>"50"</f>
        <v>50</v>
      </c>
      <c r="B37" s="3" t="s">
        <v>37</v>
      </c>
      <c r="C37" s="2"/>
    </row>
    <row r="38" spans="1:3" x14ac:dyDescent="0.2">
      <c r="A38" s="3" t="str">
        <f>"51"</f>
        <v>51</v>
      </c>
      <c r="B38" s="3" t="s">
        <v>38</v>
      </c>
      <c r="C38" s="2"/>
    </row>
    <row r="39" spans="1:3" x14ac:dyDescent="0.2">
      <c r="A39" s="3" t="str">
        <f>"52"</f>
        <v>52</v>
      </c>
      <c r="B39" s="3" t="s">
        <v>39</v>
      </c>
      <c r="C39" s="2"/>
    </row>
    <row r="40" spans="1:3" x14ac:dyDescent="0.2">
      <c r="A40" s="3" t="str">
        <f>"53"</f>
        <v>53</v>
      </c>
      <c r="B40" s="3" t="s">
        <v>40</v>
      </c>
      <c r="C40" s="2"/>
    </row>
    <row r="41" spans="1:3" x14ac:dyDescent="0.2">
      <c r="A41" s="3" t="str">
        <f>"54"</f>
        <v>54</v>
      </c>
      <c r="B41" s="3" t="s">
        <v>41</v>
      </c>
      <c r="C41" s="2"/>
    </row>
    <row r="42" spans="1:3" x14ac:dyDescent="0.2">
      <c r="A42" s="3" t="str">
        <f>"55"</f>
        <v>55</v>
      </c>
      <c r="B42" s="3" t="s">
        <v>42</v>
      </c>
      <c r="C42" s="2"/>
    </row>
    <row r="43" spans="1:3" x14ac:dyDescent="0.2">
      <c r="A43" s="3" t="str">
        <f>"56"</f>
        <v>56</v>
      </c>
      <c r="B43" s="3" t="s">
        <v>43</v>
      </c>
      <c r="C43" s="2"/>
    </row>
    <row r="44" spans="1:3" x14ac:dyDescent="0.2">
      <c r="A44" s="3" t="str">
        <f>"57"</f>
        <v>57</v>
      </c>
      <c r="B44" s="3" t="s">
        <v>44</v>
      </c>
      <c r="C44" s="2"/>
    </row>
    <row r="45" spans="1:3" x14ac:dyDescent="0.2">
      <c r="A45" s="3" t="str">
        <f>"58"</f>
        <v>58</v>
      </c>
      <c r="B45" s="3" t="s">
        <v>45</v>
      </c>
      <c r="C45" s="2"/>
    </row>
    <row r="46" spans="1:3" x14ac:dyDescent="0.2">
      <c r="A46" s="3" t="str">
        <f>"59"</f>
        <v>59</v>
      </c>
      <c r="B46" s="3" t="s">
        <v>46</v>
      </c>
      <c r="C46" s="2"/>
    </row>
    <row r="47" spans="1:3" x14ac:dyDescent="0.2">
      <c r="A47" s="3" t="str">
        <f>"6"</f>
        <v>6</v>
      </c>
      <c r="B47" s="3" t="s">
        <v>47</v>
      </c>
      <c r="C47" s="2"/>
    </row>
    <row r="48" spans="1:3" x14ac:dyDescent="0.2">
      <c r="A48" s="3" t="str">
        <f>"60"</f>
        <v>60</v>
      </c>
      <c r="B48" s="3" t="s">
        <v>48</v>
      </c>
      <c r="C48" s="2"/>
    </row>
    <row r="49" spans="1:3" x14ac:dyDescent="0.2">
      <c r="A49" s="3" t="str">
        <f>"61"</f>
        <v>61</v>
      </c>
      <c r="B49" s="3" t="s">
        <v>49</v>
      </c>
      <c r="C49" s="2"/>
    </row>
    <row r="50" spans="1:3" x14ac:dyDescent="0.2">
      <c r="A50" s="3" t="str">
        <f>"62"</f>
        <v>62</v>
      </c>
      <c r="B50" s="3" t="s">
        <v>50</v>
      </c>
      <c r="C50" s="2"/>
    </row>
    <row r="51" spans="1:3" x14ac:dyDescent="0.2">
      <c r="A51" s="3" t="str">
        <f>"63"</f>
        <v>63</v>
      </c>
      <c r="B51" s="3" t="s">
        <v>51</v>
      </c>
      <c r="C51" s="2"/>
    </row>
    <row r="52" spans="1:3" x14ac:dyDescent="0.2">
      <c r="A52" s="3" t="str">
        <f>"64"</f>
        <v>64</v>
      </c>
      <c r="B52" s="3" t="s">
        <v>52</v>
      </c>
      <c r="C52" s="2"/>
    </row>
    <row r="53" spans="1:3" x14ac:dyDescent="0.2">
      <c r="A53" s="3" t="str">
        <f>"65"</f>
        <v>65</v>
      </c>
      <c r="B53" s="3" t="s">
        <v>53</v>
      </c>
      <c r="C53" s="2"/>
    </row>
    <row r="54" spans="1:3" x14ac:dyDescent="0.2">
      <c r="A54" s="3" t="str">
        <f>"66"</f>
        <v>66</v>
      </c>
      <c r="B54" s="3" t="s">
        <v>54</v>
      </c>
      <c r="C54" s="2"/>
    </row>
    <row r="55" spans="1:3" x14ac:dyDescent="0.2">
      <c r="A55" s="3" t="str">
        <f>"67"</f>
        <v>67</v>
      </c>
      <c r="B55" s="3" t="s">
        <v>55</v>
      </c>
      <c r="C55" s="2"/>
    </row>
    <row r="56" spans="1:3" x14ac:dyDescent="0.2">
      <c r="A56" s="3" t="str">
        <f>"68"</f>
        <v>68</v>
      </c>
      <c r="B56" s="3" t="s">
        <v>56</v>
      </c>
      <c r="C56" s="2"/>
    </row>
    <row r="57" spans="1:3" x14ac:dyDescent="0.2">
      <c r="A57" s="3" t="str">
        <f>"69"</f>
        <v>69</v>
      </c>
      <c r="B57" s="3" t="s">
        <v>57</v>
      </c>
      <c r="C57" s="2"/>
    </row>
    <row r="58" spans="1:3" x14ac:dyDescent="0.2">
      <c r="A58" s="3" t="str">
        <f>"7"</f>
        <v>7</v>
      </c>
      <c r="B58" s="3" t="s">
        <v>58</v>
      </c>
      <c r="C58" s="2"/>
    </row>
    <row r="59" spans="1:3" x14ac:dyDescent="0.2">
      <c r="A59" s="3" t="str">
        <f>"70"</f>
        <v>70</v>
      </c>
      <c r="B59" s="3" t="s">
        <v>59</v>
      </c>
      <c r="C59" s="2"/>
    </row>
    <row r="60" spans="1:3" x14ac:dyDescent="0.2">
      <c r="A60" s="3" t="str">
        <f>"71"</f>
        <v>71</v>
      </c>
      <c r="B60" s="3" t="s">
        <v>60</v>
      </c>
      <c r="C60" s="2"/>
    </row>
    <row r="61" spans="1:3" x14ac:dyDescent="0.2">
      <c r="A61" s="3" t="str">
        <f>"72"</f>
        <v>72</v>
      </c>
      <c r="B61" s="3" t="s">
        <v>61</v>
      </c>
      <c r="C61" s="2"/>
    </row>
    <row r="62" spans="1:3" x14ac:dyDescent="0.2">
      <c r="A62" s="3" t="str">
        <f>"8"</f>
        <v>8</v>
      </c>
      <c r="B62" s="3" t="s">
        <v>62</v>
      </c>
      <c r="C62" s="2"/>
    </row>
    <row r="63" spans="1:3" x14ac:dyDescent="0.2">
      <c r="A63" s="3" t="str">
        <f>"9"</f>
        <v>9</v>
      </c>
      <c r="B63" s="3" t="s">
        <v>63</v>
      </c>
      <c r="C6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condicionesComerciales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Pinotti</cp:lastModifiedBy>
  <dcterms:created xsi:type="dcterms:W3CDTF">2025-11-24T22:01:12Z</dcterms:created>
  <dcterms:modified xsi:type="dcterms:W3CDTF">2025-11-24T22:01:12Z</dcterms:modified>
</cp:coreProperties>
</file>